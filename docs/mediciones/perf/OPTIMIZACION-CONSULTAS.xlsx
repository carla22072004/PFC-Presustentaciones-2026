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Hoja1" state="visible" r:id="rId4"/>
  </sheets>
  <calcPr calcId="171027"/>
</workbook>
</file>

<file path=xl/sharedStrings.xml><?xml version="1.0" encoding="utf-8"?>
<sst xmlns="http://schemas.openxmlformats.org/spreadsheetml/2006/main" count="442" uniqueCount="47">
  <si>
    <t>Consulta 1: SELECT ... FROM tutoria_mensajes WHERE fase_id = 536</t>
  </si>
  <si>
    <t>Antes (sin indice) - nodo: Seq Scan</t>
  </si>
  <si>
    <t>NODOS</t>
  </si>
  <si>
    <t>Ejecucion 1</t>
  </si>
  <si>
    <t>Ejecucion 2</t>
  </si>
  <si>
    <t>Ejecucion 3</t>
  </si>
  <si>
    <t>Ejecucion 4</t>
  </si>
  <si>
    <t>Ejecucion 5</t>
  </si>
  <si>
    <t>Promedio</t>
  </si>
  <si>
    <t>Tiempo</t>
  </si>
  <si>
    <t>% ocupado</t>
  </si>
  <si>
    <t>%Ocupado</t>
  </si>
  <si>
    <t>SeqScan</t>
  </si>
  <si>
    <t>Despues (CREATE INDEX ix_tutoria_mensajes_fase ON tutoria_mensajes(fase_id)) - nodo: Index Scan</t>
  </si>
  <si>
    <t>Index Scan</t>
  </si>
  <si>
    <t>% Mejora Consulta 1</t>
  </si>
  <si>
    <t>Consulta 2: SELECT ... FROM evaluaciones_jurado WHERE jurado_id = 44127</t>
  </si>
  <si>
    <t>Despues (CREATE INDEX ix_evaluaciones_jurado_jurado ON evaluaciones_jurado(jurado_id)) - nodo: Index Scan</t>
  </si>
  <si>
    <t>% Mejora Consulta 2</t>
  </si>
  <si>
    <t>Consulta 3: SELECT ... FROM notificaciones WHERE leida=false ORDER BY fecha DESC</t>
  </si>
  <si>
    <t>Antes (sin indice) - nodos: SeqScan + Sort</t>
  </si>
  <si>
    <t>Sort</t>
  </si>
  <si>
    <t>Despues (CREATE INDEX ix_notificaciones_leida_fecha ON notificaciones(leida, fecha DESC)) - nodos: Bitmap Scan + Sort</t>
  </si>
  <si>
    <t>Bitmap Scan</t>
  </si>
  <si>
    <t>% Mejora Consulta 3</t>
  </si>
  <si>
    <t>Consulta 4: SELECT ... FROM usuarios WHERE rol_id = 2 (docentes)</t>
  </si>
  <si>
    <t>Antes (sin indice) - nodo: SeqScan</t>
  </si>
  <si>
    <t>Despues (CREATE INDEX ix_usuarios_rol ON usuarios(rol_id)) - nodo: Index Scan</t>
  </si>
  <si>
    <t>% Mejora Consulta 4</t>
  </si>
  <si>
    <t>Consulta 5: SELECT ... FROM estudiante WHERE carrera_id = 1</t>
  </si>
  <si>
    <t>Despues (CREATE INDEX ix_estudiante_carrera ON estudiante(carrera_id)) - nodo: Bitmap Scan</t>
  </si>
  <si>
    <t>% Mejora Consulta 5</t>
  </si>
  <si>
    <t>Consulta 6: SELECT ... FROM docente WHERE facultad_id = 1</t>
  </si>
  <si>
    <t>Despues (CREATE INDEX ix_docente_facultad ON docente(facultad_id)) - nodo: Bitmap Scan</t>
  </si>
  <si>
    <t>% Mejora Consulta 6</t>
  </si>
  <si>
    <t>Consulta 7: SELECT ... FROM evaluadores WHERE docente_id = 273 (mis evaluaciones asignadas)</t>
  </si>
  <si>
    <t>Despues (CREATE INDEX ix_evaluadores_docente ON evaluadores(docente_id)) - nodo: Bitmap Scan</t>
  </si>
  <si>
    <t>% Mejora Consulta 7</t>
  </si>
  <si>
    <t>Consulta 8: SELECT ... FROM miembros_tribunal WHERE docente_id = 6114 (mis tribunales asignados)</t>
  </si>
  <si>
    <t>Despues (CREATE INDEX ix_miembros_tribunal_docente ON miembros_tribunal(docente_id)) - nodo: Bitmap Scan</t>
  </si>
  <si>
    <t>% Mejora Consulta 8</t>
  </si>
  <si>
    <t>Consulta 9: SELECT ... FROM tutores WHERE docente_id = 273 (mis tutorados)</t>
  </si>
  <si>
    <t>Despues (CREATE INDEX ix_tutores_docente ON tutores(docente_id)) - nodo: Bitmap Scan</t>
  </si>
  <si>
    <t>% Mejora Consulta 9</t>
  </si>
  <si>
    <t>Consulta 10: SELECT ... FROM anteproyectos WHERE estado = 'PENDIENTE'</t>
  </si>
  <si>
    <t>Despues (CREATE INDEX ix_anteproyectos_estado ON anteproyectos(estado)) - nodo: Bitmap Scan</t>
  </si>
  <si>
    <t>% Mejora Consulta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</si>
</sst>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0"/>
  </numFmts>
  <fonts count="6" x14ac:knownFonts="1">
    <font>
      <color theme="1"/>
      <family val="2"/>
      <scheme val="minor"/>
      <sz val="11"/>
      <name val="Calibri"/>
    </font>
    <font>
      <b/>
      <sz val="12"/>
      <name val="Aptos Narrow"/>
    </font>
    <font>
      <b/>
      <i/>
      <sz val="10"/>
      <name val="Aptos Narrow"/>
    </font>
    <font>
      <b/>
      <sz val="11"/>
      <name val="Aptos Narrow"/>
    </font>
    <font>
      <sz val="11"/>
      <name val="Aptos Narrow"/>
    </font>
    <font>
      <b/>
      <name val="Aptos Narrow"/>
    </font>
  </fonts>
  <fills count="5">
    <fill>
      <patternFill patternType="none"/>
    </fill>
    <fill>
      <patternFill patternType="gray125"/>
    </fill>
    <fill>
      <patternFill patternType="solid">
        <fgColor rgb="FFD9E2F3"/>
      </patternFill>
    </fill>
    <fill>
      <patternFill patternType="solid">
        <fgColor rgb="FFC6E0B4"/>
      </patternFill>
    </fill>
    <fill>
      <patternFill patternType="solid">
        <fgColor rgb="FFF2F5FB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4" fillId="2" borderId="1" xfId="0" applyFont="1" applyFill="1" applyBorder="1"/>
    <xf numFmtId="164" fontId="0" fillId="0" borderId="1" xfId="0" applyNumberFormat="1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0" fontId="5" fillId="0" borderId="0" xfId="0" applyFont="1"/>
    <xf numFmtId="2" fontId="0" fillId="0" borderId="0" xfId="0" applyNumberFormat="1"/>
    <xf numFmtId="164" fontId="5" fillId="0" borderId="1" xfId="0" applyNumberFormat="1" applyFont="1" applyBorder="1" applyAlignment="1">
      <alignment horizontal="center" vertical="center"/>
    </xf>
    <xf numFmtId="2" fontId="5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52"/>
  <sheetFormatPr defaultRowHeight="15" outlineLevelRow="0" outlineLevelCol="0" x14ac:dyDescent="55"/>
  <cols>
    <col min="1" max="1" width="20" customWidth="1"/>
    <col min="2" max="13" width="10" customWidth="1"/>
  </cols>
  <sheetData>
    <row r="1" spans="1:1" x14ac:dyDescent="0.25">
      <c r="A1" s="1" t="s">
        <v>0</v>
      </c>
    </row>
    <row r="3" spans="1:1" x14ac:dyDescent="0.25">
      <c r="A3" s="2" t="s">
        <v>1</v>
      </c>
    </row>
    <row r="4" spans="1:13" x14ac:dyDescent="0.25">
      <c r="A4" s="3" t="s">
        <v>2</v>
      </c>
      <c r="B4" s="3" t="s">
        <v>3</v>
      </c>
      <c r="C4" s="3"/>
      <c r="D4" s="3" t="s">
        <v>4</v>
      </c>
      <c r="E4" s="3"/>
      <c r="F4" s="3" t="s">
        <v>5</v>
      </c>
      <c r="G4" s="3"/>
      <c r="H4" s="3" t="s">
        <v>6</v>
      </c>
      <c r="I4" s="3"/>
      <c r="J4" s="3" t="s">
        <v>7</v>
      </c>
      <c r="K4" s="3"/>
      <c r="L4" s="4" t="s">
        <v>8</v>
      </c>
      <c r="M4" s="4"/>
    </row>
    <row r="5" spans="1:13" x14ac:dyDescent="0.25">
      <c r="A5" s="3"/>
      <c r="B5" s="5" t="s">
        <v>9</v>
      </c>
      <c r="C5" s="5" t="s">
        <v>10</v>
      </c>
      <c r="D5" s="5" t="s">
        <v>9</v>
      </c>
      <c r="E5" s="5" t="s">
        <v>10</v>
      </c>
      <c r="F5" s="5" t="s">
        <v>9</v>
      </c>
      <c r="G5" s="5" t="s">
        <v>10</v>
      </c>
      <c r="H5" s="5" t="s">
        <v>9</v>
      </c>
      <c r="I5" s="5" t="s">
        <v>10</v>
      </c>
      <c r="J5" s="5" t="s">
        <v>9</v>
      </c>
      <c r="K5" s="5" t="s">
        <v>10</v>
      </c>
      <c r="L5" s="4" t="s">
        <v>9</v>
      </c>
      <c r="M5" s="4" t="s">
        <v>11</v>
      </c>
    </row>
    <row r="6" spans="1:13" x14ac:dyDescent="0.25">
      <c r="A6" s="6" t="s">
        <v>12</v>
      </c>
      <c r="B6" s="7">
        <v>13.948</v>
      </c>
      <c r="C6" s="8">
        <v>100</v>
      </c>
      <c r="D6" s="7">
        <v>14.477</v>
      </c>
      <c r="E6" s="8">
        <v>100</v>
      </c>
      <c r="F6" s="7">
        <v>13.19</v>
      </c>
      <c r="G6" s="8">
        <v>100</v>
      </c>
      <c r="H6" s="7">
        <v>13.694</v>
      </c>
      <c r="I6" s="8">
        <v>100</v>
      </c>
      <c r="J6" s="7">
        <v>13.563</v>
      </c>
      <c r="K6" s="8">
        <v>100</v>
      </c>
      <c r="L6" s="7">
        <f>AVERAGE(B6,D6,F6,H6,J6)</f>
      </c>
      <c r="M6" s="8">
        <f>AVERAGE(C6,E6,G6,I6,K6)</f>
      </c>
    </row>
    <row r="8" spans="1:1" x14ac:dyDescent="0.25">
      <c r="A8" s="2" t="s">
        <v>13</v>
      </c>
    </row>
    <row r="9" spans="1:13" x14ac:dyDescent="0.25">
      <c r="A9" s="3" t="s">
        <v>2</v>
      </c>
      <c r="B9" s="3" t="s">
        <v>3</v>
      </c>
      <c r="C9" s="3"/>
      <c r="D9" s="3" t="s">
        <v>4</v>
      </c>
      <c r="E9" s="3"/>
      <c r="F9" s="3" t="s">
        <v>5</v>
      </c>
      <c r="G9" s="3"/>
      <c r="H9" s="3" t="s">
        <v>6</v>
      </c>
      <c r="I9" s="3"/>
      <c r="J9" s="3" t="s">
        <v>7</v>
      </c>
      <c r="K9" s="3"/>
      <c r="L9" s="4" t="s">
        <v>8</v>
      </c>
      <c r="M9" s="4"/>
    </row>
    <row r="10" spans="1:13" x14ac:dyDescent="0.25">
      <c r="A10" s="3"/>
      <c r="B10" s="5" t="s">
        <v>9</v>
      </c>
      <c r="C10" s="5" t="s">
        <v>10</v>
      </c>
      <c r="D10" s="5" t="s">
        <v>9</v>
      </c>
      <c r="E10" s="5" t="s">
        <v>10</v>
      </c>
      <c r="F10" s="5" t="s">
        <v>9</v>
      </c>
      <c r="G10" s="5" t="s">
        <v>10</v>
      </c>
      <c r="H10" s="5" t="s">
        <v>9</v>
      </c>
      <c r="I10" s="5" t="s">
        <v>10</v>
      </c>
      <c r="J10" s="5" t="s">
        <v>9</v>
      </c>
      <c r="K10" s="5" t="s">
        <v>10</v>
      </c>
      <c r="L10" s="4" t="s">
        <v>9</v>
      </c>
      <c r="M10" s="4" t="s">
        <v>11</v>
      </c>
    </row>
    <row r="11" spans="1:13" x14ac:dyDescent="0.25">
      <c r="A11" s="6" t="s">
        <v>14</v>
      </c>
      <c r="B11" s="7">
        <v>0.246</v>
      </c>
      <c r="C11" s="8">
        <v>100</v>
      </c>
      <c r="D11" s="7">
        <v>0.222</v>
      </c>
      <c r="E11" s="8">
        <v>100</v>
      </c>
      <c r="F11" s="7">
        <v>0.249</v>
      </c>
      <c r="G11" s="8">
        <v>100</v>
      </c>
      <c r="H11" s="7">
        <v>0.227</v>
      </c>
      <c r="I11" s="8">
        <v>100</v>
      </c>
      <c r="J11" s="7">
        <v>0.224</v>
      </c>
      <c r="K11" s="8">
        <v>100</v>
      </c>
      <c r="L11" s="7">
        <f>AVERAGE(B11,D11,F11,H11,J11)</f>
      </c>
      <c r="M11" s="8">
        <f>AVERAGE(C11,E11,G11,I11,K11)</f>
      </c>
    </row>
    <row r="13" spans="1:2" x14ac:dyDescent="0.25">
      <c r="A13" s="9" t="s">
        <v>15</v>
      </c>
      <c r="B13" s="10">
        <f>((L6-L11)/L6)*100</f>
      </c>
    </row>
    <row r="16" spans="1:1" x14ac:dyDescent="0.25">
      <c r="A16" s="1" t="s">
        <v>16</v>
      </c>
    </row>
    <row r="18" spans="1:1" x14ac:dyDescent="0.25">
      <c r="A18" s="2" t="s">
        <v>1</v>
      </c>
    </row>
    <row r="19" spans="1:13" x14ac:dyDescent="0.25">
      <c r="A19" s="3" t="s">
        <v>2</v>
      </c>
      <c r="B19" s="3" t="s">
        <v>3</v>
      </c>
      <c r="C19" s="3"/>
      <c r="D19" s="3" t="s">
        <v>4</v>
      </c>
      <c r="E19" s="3"/>
      <c r="F19" s="3" t="s">
        <v>5</v>
      </c>
      <c r="G19" s="3"/>
      <c r="H19" s="3" t="s">
        <v>6</v>
      </c>
      <c r="I19" s="3"/>
      <c r="J19" s="3" t="s">
        <v>7</v>
      </c>
      <c r="K19" s="3"/>
      <c r="L19" s="4" t="s">
        <v>8</v>
      </c>
      <c r="M19" s="4"/>
    </row>
    <row r="20" spans="1:13" x14ac:dyDescent="0.25">
      <c r="A20" s="3"/>
      <c r="B20" s="5" t="s">
        <v>9</v>
      </c>
      <c r="C20" s="5" t="s">
        <v>10</v>
      </c>
      <c r="D20" s="5" t="s">
        <v>9</v>
      </c>
      <c r="E20" s="5" t="s">
        <v>10</v>
      </c>
      <c r="F20" s="5" t="s">
        <v>9</v>
      </c>
      <c r="G20" s="5" t="s">
        <v>10</v>
      </c>
      <c r="H20" s="5" t="s">
        <v>9</v>
      </c>
      <c r="I20" s="5" t="s">
        <v>10</v>
      </c>
      <c r="J20" s="5" t="s">
        <v>9</v>
      </c>
      <c r="K20" s="5" t="s">
        <v>10</v>
      </c>
      <c r="L20" s="4" t="s">
        <v>9</v>
      </c>
      <c r="M20" s="4" t="s">
        <v>11</v>
      </c>
    </row>
    <row r="21" spans="1:13" x14ac:dyDescent="0.25">
      <c r="A21" s="6" t="s">
        <v>12</v>
      </c>
      <c r="B21" s="7">
        <v>6.297</v>
      </c>
      <c r="C21" s="8">
        <v>100</v>
      </c>
      <c r="D21" s="7">
        <v>4.585</v>
      </c>
      <c r="E21" s="8">
        <v>100</v>
      </c>
      <c r="F21" s="7">
        <v>4.608</v>
      </c>
      <c r="G21" s="8">
        <v>100</v>
      </c>
      <c r="H21" s="7">
        <v>4.596</v>
      </c>
      <c r="I21" s="8">
        <v>100</v>
      </c>
      <c r="J21" s="7">
        <v>5.364</v>
      </c>
      <c r="K21" s="8">
        <v>100</v>
      </c>
      <c r="L21" s="7">
        <f>AVERAGE(B21,D21,F21,H21,J21)</f>
      </c>
      <c r="M21" s="8">
        <f>AVERAGE(C21,E21,G21,I21,K21)</f>
      </c>
    </row>
    <row r="23" spans="1:1" x14ac:dyDescent="0.25">
      <c r="A23" s="2" t="s">
        <v>17</v>
      </c>
    </row>
    <row r="24" spans="1:13" x14ac:dyDescent="0.25">
      <c r="A24" s="3" t="s">
        <v>2</v>
      </c>
      <c r="B24" s="3" t="s">
        <v>3</v>
      </c>
      <c r="C24" s="3"/>
      <c r="D24" s="3" t="s">
        <v>4</v>
      </c>
      <c r="E24" s="3"/>
      <c r="F24" s="3" t="s">
        <v>5</v>
      </c>
      <c r="G24" s="3"/>
      <c r="H24" s="3" t="s">
        <v>6</v>
      </c>
      <c r="I24" s="3"/>
      <c r="J24" s="3" t="s">
        <v>7</v>
      </c>
      <c r="K24" s="3"/>
      <c r="L24" s="4" t="s">
        <v>8</v>
      </c>
      <c r="M24" s="4"/>
    </row>
    <row r="25" spans="1:13" x14ac:dyDescent="0.25">
      <c r="A25" s="3"/>
      <c r="B25" s="5" t="s">
        <v>9</v>
      </c>
      <c r="C25" s="5" t="s">
        <v>10</v>
      </c>
      <c r="D25" s="5" t="s">
        <v>9</v>
      </c>
      <c r="E25" s="5" t="s">
        <v>10</v>
      </c>
      <c r="F25" s="5" t="s">
        <v>9</v>
      </c>
      <c r="G25" s="5" t="s">
        <v>10</v>
      </c>
      <c r="H25" s="5" t="s">
        <v>9</v>
      </c>
      <c r="I25" s="5" t="s">
        <v>10</v>
      </c>
      <c r="J25" s="5" t="s">
        <v>9</v>
      </c>
      <c r="K25" s="5" t="s">
        <v>10</v>
      </c>
      <c r="L25" s="4" t="s">
        <v>9</v>
      </c>
      <c r="M25" s="4" t="s">
        <v>11</v>
      </c>
    </row>
    <row r="26" spans="1:13" x14ac:dyDescent="0.25">
      <c r="A26" s="6" t="s">
        <v>14</v>
      </c>
      <c r="B26" s="7">
        <v>0.237</v>
      </c>
      <c r="C26" s="8">
        <v>100</v>
      </c>
      <c r="D26" s="7">
        <v>0.223</v>
      </c>
      <c r="E26" s="8">
        <v>100</v>
      </c>
      <c r="F26" s="7">
        <v>0.221</v>
      </c>
      <c r="G26" s="8">
        <v>100</v>
      </c>
      <c r="H26" s="7">
        <v>0.216</v>
      </c>
      <c r="I26" s="8">
        <v>100</v>
      </c>
      <c r="J26" s="7">
        <v>0.221</v>
      </c>
      <c r="K26" s="8">
        <v>100</v>
      </c>
      <c r="L26" s="7">
        <f>AVERAGE(B26,D26,F26,H26,J26)</f>
      </c>
      <c r="M26" s="8">
        <f>AVERAGE(C26,E26,G26,I26,K26)</f>
      </c>
    </row>
    <row r="28" spans="1:2" x14ac:dyDescent="0.25">
      <c r="A28" s="9" t="s">
        <v>18</v>
      </c>
      <c r="B28" s="10">
        <f>((L21-L26)/L21)*100</f>
      </c>
    </row>
    <row r="31" spans="1:1" x14ac:dyDescent="0.25">
      <c r="A31" s="1" t="s">
        <v>19</v>
      </c>
    </row>
    <row r="33" spans="1:1" x14ac:dyDescent="0.25">
      <c r="A33" s="2" t="s">
        <v>20</v>
      </c>
    </row>
    <row r="34" spans="1:13" x14ac:dyDescent="0.25">
      <c r="A34" s="3" t="s">
        <v>2</v>
      </c>
      <c r="B34" s="3" t="s">
        <v>3</v>
      </c>
      <c r="C34" s="3"/>
      <c r="D34" s="3" t="s">
        <v>4</v>
      </c>
      <c r="E34" s="3"/>
      <c r="F34" s="3" t="s">
        <v>5</v>
      </c>
      <c r="G34" s="3"/>
      <c r="H34" s="3" t="s">
        <v>6</v>
      </c>
      <c r="I34" s="3"/>
      <c r="J34" s="3" t="s">
        <v>7</v>
      </c>
      <c r="K34" s="3"/>
      <c r="L34" s="4" t="s">
        <v>8</v>
      </c>
      <c r="M34" s="4"/>
    </row>
    <row r="35" spans="1:13" x14ac:dyDescent="0.25">
      <c r="A35" s="3"/>
      <c r="B35" s="5" t="s">
        <v>9</v>
      </c>
      <c r="C35" s="5" t="s">
        <v>10</v>
      </c>
      <c r="D35" s="5" t="s">
        <v>9</v>
      </c>
      <c r="E35" s="5" t="s">
        <v>10</v>
      </c>
      <c r="F35" s="5" t="s">
        <v>9</v>
      </c>
      <c r="G35" s="5" t="s">
        <v>10</v>
      </c>
      <c r="H35" s="5" t="s">
        <v>9</v>
      </c>
      <c r="I35" s="5" t="s">
        <v>10</v>
      </c>
      <c r="J35" s="5" t="s">
        <v>9</v>
      </c>
      <c r="K35" s="5" t="s">
        <v>10</v>
      </c>
      <c r="L35" s="4" t="s">
        <v>9</v>
      </c>
      <c r="M35" s="4" t="s">
        <v>11</v>
      </c>
    </row>
    <row r="36" spans="1:13" x14ac:dyDescent="0.25">
      <c r="A36" s="6" t="s">
        <v>12</v>
      </c>
      <c r="B36" s="7">
        <v>11.737</v>
      </c>
      <c r="C36" s="8">
        <v>32.46</v>
      </c>
      <c r="D36" s="7">
        <v>12.063</v>
      </c>
      <c r="E36" s="8">
        <v>34.05</v>
      </c>
      <c r="F36" s="7">
        <v>12.051</v>
      </c>
      <c r="G36" s="8">
        <v>34.67</v>
      </c>
      <c r="H36" s="7">
        <v>11.766</v>
      </c>
      <c r="I36" s="8">
        <v>33.56</v>
      </c>
      <c r="J36" s="7">
        <v>12.532</v>
      </c>
      <c r="K36" s="8">
        <v>34.72</v>
      </c>
      <c r="L36" s="7">
        <f>AVERAGE(B36,D36,F36,H36,J36)</f>
      </c>
      <c r="M36" s="8">
        <f>AVERAGE(C36,E36,G36,I36,K36)</f>
      </c>
    </row>
    <row r="37" spans="1:13" x14ac:dyDescent="0.25">
      <c r="A37" s="6" t="s">
        <v>21</v>
      </c>
      <c r="B37" s="7">
        <v>24.424</v>
      </c>
      <c r="C37" s="8">
        <v>67.54</v>
      </c>
      <c r="D37" s="7">
        <v>23.362</v>
      </c>
      <c r="E37" s="8">
        <v>65.95</v>
      </c>
      <c r="F37" s="7">
        <v>22.709</v>
      </c>
      <c r="G37" s="8">
        <v>65.33</v>
      </c>
      <c r="H37" s="7">
        <v>23.293</v>
      </c>
      <c r="I37" s="8">
        <v>66.44</v>
      </c>
      <c r="J37" s="7">
        <v>23.558</v>
      </c>
      <c r="K37" s="8">
        <v>65.28</v>
      </c>
      <c r="L37" s="7">
        <f>AVERAGE(B37,D37,F37,H37,J37)</f>
      </c>
      <c r="M37" s="8">
        <f>AVERAGE(C37,E37,G37,I37,K37)</f>
      </c>
    </row>
    <row r="38" spans="12:13" x14ac:dyDescent="0.25">
      <c r="L38" s="11">
        <f>SUM(L36:L37)</f>
      </c>
      <c r="M38" s="12">
        <f>SUM(M36:M37)</f>
      </c>
    </row>
    <row r="40" spans="1:1" x14ac:dyDescent="0.25">
      <c r="A40" s="2" t="s">
        <v>22</v>
      </c>
    </row>
    <row r="41" spans="1:13" x14ac:dyDescent="0.25">
      <c r="A41" s="3" t="s">
        <v>2</v>
      </c>
      <c r="B41" s="3" t="s">
        <v>3</v>
      </c>
      <c r="C41" s="3"/>
      <c r="D41" s="3" t="s">
        <v>4</v>
      </c>
      <c r="E41" s="3"/>
      <c r="F41" s="3" t="s">
        <v>5</v>
      </c>
      <c r="G41" s="3"/>
      <c r="H41" s="3" t="s">
        <v>6</v>
      </c>
      <c r="I41" s="3"/>
      <c r="J41" s="3" t="s">
        <v>7</v>
      </c>
      <c r="K41" s="3"/>
      <c r="L41" s="4" t="s">
        <v>8</v>
      </c>
      <c r="M41" s="4"/>
    </row>
    <row r="42" spans="1:13" x14ac:dyDescent="0.25">
      <c r="A42" s="3"/>
      <c r="B42" s="5" t="s">
        <v>9</v>
      </c>
      <c r="C42" s="5" t="s">
        <v>10</v>
      </c>
      <c r="D42" s="5" t="s">
        <v>9</v>
      </c>
      <c r="E42" s="5" t="s">
        <v>10</v>
      </c>
      <c r="F42" s="5" t="s">
        <v>9</v>
      </c>
      <c r="G42" s="5" t="s">
        <v>10</v>
      </c>
      <c r="H42" s="5" t="s">
        <v>9</v>
      </c>
      <c r="I42" s="5" t="s">
        <v>10</v>
      </c>
      <c r="J42" s="5" t="s">
        <v>9</v>
      </c>
      <c r="K42" s="5" t="s">
        <v>10</v>
      </c>
      <c r="L42" s="4" t="s">
        <v>9</v>
      </c>
      <c r="M42" s="4" t="s">
        <v>11</v>
      </c>
    </row>
    <row r="43" spans="1:13" x14ac:dyDescent="0.25">
      <c r="A43" s="6" t="s">
        <v>23</v>
      </c>
      <c r="B43" s="7">
        <v>10.105</v>
      </c>
      <c r="C43" s="8">
        <v>27.88</v>
      </c>
      <c r="D43" s="7">
        <v>9.126</v>
      </c>
      <c r="E43" s="8">
        <v>28</v>
      </c>
      <c r="F43" s="7">
        <v>9.801</v>
      </c>
      <c r="G43" s="8">
        <v>28.79</v>
      </c>
      <c r="H43" s="7">
        <v>9.121</v>
      </c>
      <c r="I43" s="8">
        <v>28.55</v>
      </c>
      <c r="J43" s="7">
        <v>9.692</v>
      </c>
      <c r="K43" s="8">
        <v>29.48</v>
      </c>
      <c r="L43" s="7">
        <f>AVERAGE(B43,D43,F43,H43,J43)</f>
      </c>
      <c r="M43" s="8">
        <f>AVERAGE(C43,E43,G43,I43,K43)</f>
      </c>
    </row>
    <row r="44" spans="1:13" x14ac:dyDescent="0.25">
      <c r="A44" s="6" t="s">
        <v>21</v>
      </c>
      <c r="B44" s="7">
        <v>26.14</v>
      </c>
      <c r="C44" s="8">
        <v>72.12</v>
      </c>
      <c r="D44" s="7">
        <v>23.47</v>
      </c>
      <c r="E44" s="8">
        <v>72</v>
      </c>
      <c r="F44" s="7">
        <v>24.244</v>
      </c>
      <c r="G44" s="8">
        <v>71.21</v>
      </c>
      <c r="H44" s="7">
        <v>22.832</v>
      </c>
      <c r="I44" s="8">
        <v>71.45</v>
      </c>
      <c r="J44" s="7">
        <v>23.184</v>
      </c>
      <c r="K44" s="8">
        <v>70.52</v>
      </c>
      <c r="L44" s="7">
        <f>AVERAGE(B44,D44,F44,H44,J44)</f>
      </c>
      <c r="M44" s="8">
        <f>AVERAGE(C44,E44,G44,I44,K44)</f>
      </c>
    </row>
    <row r="45" spans="12:13" x14ac:dyDescent="0.25">
      <c r="L45" s="11">
        <f>SUM(L43:L44)</f>
      </c>
      <c r="M45" s="12">
        <f>SUM(M43:M44)</f>
      </c>
    </row>
    <row r="47" spans="1:2" x14ac:dyDescent="0.25">
      <c r="A47" s="9" t="s">
        <v>24</v>
      </c>
      <c r="B47" s="10">
        <f>((L38-L45)/L38)*100</f>
      </c>
    </row>
    <row r="50" spans="1:1" x14ac:dyDescent="0.25">
      <c r="A50" s="1" t="s">
        <v>25</v>
      </c>
    </row>
    <row r="52" spans="1:1" x14ac:dyDescent="0.25">
      <c r="A52" s="2" t="s">
        <v>26</v>
      </c>
    </row>
    <row r="53" spans="1:13" x14ac:dyDescent="0.25">
      <c r="A53" s="3" t="s">
        <v>2</v>
      </c>
      <c r="B53" s="3" t="s">
        <v>3</v>
      </c>
      <c r="C53" s="3"/>
      <c r="D53" s="3" t="s">
        <v>4</v>
      </c>
      <c r="E53" s="3"/>
      <c r="F53" s="3" t="s">
        <v>5</v>
      </c>
      <c r="G53" s="3"/>
      <c r="H53" s="3" t="s">
        <v>6</v>
      </c>
      <c r="I53" s="3"/>
      <c r="J53" s="3" t="s">
        <v>7</v>
      </c>
      <c r="K53" s="3"/>
      <c r="L53" s="4" t="s">
        <v>8</v>
      </c>
      <c r="M53" s="4"/>
    </row>
    <row r="54" spans="1:13" x14ac:dyDescent="0.25">
      <c r="A54" s="3"/>
      <c r="B54" s="5" t="s">
        <v>9</v>
      </c>
      <c r="C54" s="5" t="s">
        <v>10</v>
      </c>
      <c r="D54" s="5" t="s">
        <v>9</v>
      </c>
      <c r="E54" s="5" t="s">
        <v>10</v>
      </c>
      <c r="F54" s="5" t="s">
        <v>9</v>
      </c>
      <c r="G54" s="5" t="s">
        <v>10</v>
      </c>
      <c r="H54" s="5" t="s">
        <v>9</v>
      </c>
      <c r="I54" s="5" t="s">
        <v>10</v>
      </c>
      <c r="J54" s="5" t="s">
        <v>9</v>
      </c>
      <c r="K54" s="5" t="s">
        <v>10</v>
      </c>
      <c r="L54" s="4" t="s">
        <v>9</v>
      </c>
      <c r="M54" s="4" t="s">
        <v>11</v>
      </c>
    </row>
    <row r="55" spans="1:13" x14ac:dyDescent="0.25">
      <c r="A55" s="6" t="s">
        <v>12</v>
      </c>
      <c r="B55" s="7">
        <v>7.51</v>
      </c>
      <c r="C55" s="8">
        <v>100</v>
      </c>
      <c r="D55" s="7">
        <v>6.81</v>
      </c>
      <c r="E55" s="8">
        <v>100</v>
      </c>
      <c r="F55" s="7">
        <v>6.714</v>
      </c>
      <c r="G55" s="8">
        <v>100</v>
      </c>
      <c r="H55" s="7">
        <v>8.074</v>
      </c>
      <c r="I55" s="8">
        <v>100</v>
      </c>
      <c r="J55" s="7">
        <v>6.766</v>
      </c>
      <c r="K55" s="8">
        <v>100</v>
      </c>
      <c r="L55" s="7">
        <f>AVERAGE(B55,D55,F55,H55,J55)</f>
      </c>
      <c r="M55" s="8">
        <f>AVERAGE(C55,E55,G55,I55,K55)</f>
      </c>
    </row>
    <row r="57" spans="1:1" x14ac:dyDescent="0.25">
      <c r="A57" s="2" t="s">
        <v>27</v>
      </c>
    </row>
    <row r="58" spans="1:13" x14ac:dyDescent="0.25">
      <c r="A58" s="3" t="s">
        <v>2</v>
      </c>
      <c r="B58" s="3" t="s">
        <v>3</v>
      </c>
      <c r="C58" s="3"/>
      <c r="D58" s="3" t="s">
        <v>4</v>
      </c>
      <c r="E58" s="3"/>
      <c r="F58" s="3" t="s">
        <v>5</v>
      </c>
      <c r="G58" s="3"/>
      <c r="H58" s="3" t="s">
        <v>6</v>
      </c>
      <c r="I58" s="3"/>
      <c r="J58" s="3" t="s">
        <v>7</v>
      </c>
      <c r="K58" s="3"/>
      <c r="L58" s="4" t="s">
        <v>8</v>
      </c>
      <c r="M58" s="4"/>
    </row>
    <row r="59" spans="1:13" x14ac:dyDescent="0.25">
      <c r="A59" s="3"/>
      <c r="B59" s="5" t="s">
        <v>9</v>
      </c>
      <c r="C59" s="5" t="s">
        <v>10</v>
      </c>
      <c r="D59" s="5" t="s">
        <v>9</v>
      </c>
      <c r="E59" s="5" t="s">
        <v>10</v>
      </c>
      <c r="F59" s="5" t="s">
        <v>9</v>
      </c>
      <c r="G59" s="5" t="s">
        <v>10</v>
      </c>
      <c r="H59" s="5" t="s">
        <v>9</v>
      </c>
      <c r="I59" s="5" t="s">
        <v>10</v>
      </c>
      <c r="J59" s="5" t="s">
        <v>9</v>
      </c>
      <c r="K59" s="5" t="s">
        <v>10</v>
      </c>
      <c r="L59" s="4" t="s">
        <v>9</v>
      </c>
      <c r="M59" s="4" t="s">
        <v>11</v>
      </c>
    </row>
    <row r="60" spans="1:13" x14ac:dyDescent="0.25">
      <c r="A60" s="6" t="s">
        <v>14</v>
      </c>
      <c r="B60" s="7">
        <v>2.991</v>
      </c>
      <c r="C60" s="8">
        <v>100</v>
      </c>
      <c r="D60" s="7">
        <v>2.967</v>
      </c>
      <c r="E60" s="8">
        <v>100</v>
      </c>
      <c r="F60" s="7">
        <v>2.673</v>
      </c>
      <c r="G60" s="8">
        <v>100</v>
      </c>
      <c r="H60" s="7">
        <v>2.541</v>
      </c>
      <c r="I60" s="8">
        <v>100</v>
      </c>
      <c r="J60" s="7">
        <v>2.621</v>
      </c>
      <c r="K60" s="8">
        <v>100</v>
      </c>
      <c r="L60" s="7">
        <f>AVERAGE(B60,D60,F60,H60,J60)</f>
      </c>
      <c r="M60" s="8">
        <f>AVERAGE(C60,E60,G60,I60,K60)</f>
      </c>
    </row>
    <row r="62" spans="1:2" x14ac:dyDescent="0.25">
      <c r="A62" s="9" t="s">
        <v>28</v>
      </c>
      <c r="B62" s="10">
        <f>((L55-L60)/L55)*100</f>
      </c>
    </row>
    <row r="65" spans="1:1" x14ac:dyDescent="0.25">
      <c r="A65" s="1" t="s">
        <v>29</v>
      </c>
    </row>
    <row r="67" spans="1:1" x14ac:dyDescent="0.25">
      <c r="A67" s="2" t="s">
        <v>26</v>
      </c>
    </row>
    <row r="68" spans="1:13" x14ac:dyDescent="0.25">
      <c r="A68" s="3" t="s">
        <v>2</v>
      </c>
      <c r="B68" s="3" t="s">
        <v>3</v>
      </c>
      <c r="C68" s="3"/>
      <c r="D68" s="3" t="s">
        <v>4</v>
      </c>
      <c r="E68" s="3"/>
      <c r="F68" s="3" t="s">
        <v>5</v>
      </c>
      <c r="G68" s="3"/>
      <c r="H68" s="3" t="s">
        <v>6</v>
      </c>
      <c r="I68" s="3"/>
      <c r="J68" s="3" t="s">
        <v>7</v>
      </c>
      <c r="K68" s="3"/>
      <c r="L68" s="4" t="s">
        <v>8</v>
      </c>
      <c r="M68" s="4"/>
    </row>
    <row r="69" spans="1:13" x14ac:dyDescent="0.25">
      <c r="A69" s="3"/>
      <c r="B69" s="5" t="s">
        <v>9</v>
      </c>
      <c r="C69" s="5" t="s">
        <v>10</v>
      </c>
      <c r="D69" s="5" t="s">
        <v>9</v>
      </c>
      <c r="E69" s="5" t="s">
        <v>10</v>
      </c>
      <c r="F69" s="5" t="s">
        <v>9</v>
      </c>
      <c r="G69" s="5" t="s">
        <v>10</v>
      </c>
      <c r="H69" s="5" t="s">
        <v>9</v>
      </c>
      <c r="I69" s="5" t="s">
        <v>10</v>
      </c>
      <c r="J69" s="5" t="s">
        <v>9</v>
      </c>
      <c r="K69" s="5" t="s">
        <v>10</v>
      </c>
      <c r="L69" s="4" t="s">
        <v>9</v>
      </c>
      <c r="M69" s="4" t="s">
        <v>11</v>
      </c>
    </row>
    <row r="70" spans="1:13" x14ac:dyDescent="0.25">
      <c r="A70" s="6" t="s">
        <v>12</v>
      </c>
      <c r="B70" s="7">
        <v>2.919</v>
      </c>
      <c r="C70" s="8">
        <v>100</v>
      </c>
      <c r="D70" s="7">
        <v>2.896</v>
      </c>
      <c r="E70" s="8">
        <v>100</v>
      </c>
      <c r="F70" s="7">
        <v>3.919</v>
      </c>
      <c r="G70" s="8">
        <v>100</v>
      </c>
      <c r="H70" s="7">
        <v>3.139</v>
      </c>
      <c r="I70" s="8">
        <v>100</v>
      </c>
      <c r="J70" s="7">
        <v>3.109</v>
      </c>
      <c r="K70" s="8">
        <v>100</v>
      </c>
      <c r="L70" s="7">
        <f>AVERAGE(B70,D70,F70,H70,J70)</f>
      </c>
      <c r="M70" s="8">
        <f>AVERAGE(C70,E70,G70,I70,K70)</f>
      </c>
    </row>
    <row r="72" spans="1:1" x14ac:dyDescent="0.25">
      <c r="A72" s="2" t="s">
        <v>30</v>
      </c>
    </row>
    <row r="73" spans="1:13" x14ac:dyDescent="0.25">
      <c r="A73" s="3" t="s">
        <v>2</v>
      </c>
      <c r="B73" s="3" t="s">
        <v>3</v>
      </c>
      <c r="C73" s="3"/>
      <c r="D73" s="3" t="s">
        <v>4</v>
      </c>
      <c r="E73" s="3"/>
      <c r="F73" s="3" t="s">
        <v>5</v>
      </c>
      <c r="G73" s="3"/>
      <c r="H73" s="3" t="s">
        <v>6</v>
      </c>
      <c r="I73" s="3"/>
      <c r="J73" s="3" t="s">
        <v>7</v>
      </c>
      <c r="K73" s="3"/>
      <c r="L73" s="4" t="s">
        <v>8</v>
      </c>
      <c r="M73" s="4"/>
    </row>
    <row r="74" spans="1:13" x14ac:dyDescent="0.25">
      <c r="A74" s="3"/>
      <c r="B74" s="5" t="s">
        <v>9</v>
      </c>
      <c r="C74" s="5" t="s">
        <v>10</v>
      </c>
      <c r="D74" s="5" t="s">
        <v>9</v>
      </c>
      <c r="E74" s="5" t="s">
        <v>10</v>
      </c>
      <c r="F74" s="5" t="s">
        <v>9</v>
      </c>
      <c r="G74" s="5" t="s">
        <v>10</v>
      </c>
      <c r="H74" s="5" t="s">
        <v>9</v>
      </c>
      <c r="I74" s="5" t="s">
        <v>10</v>
      </c>
      <c r="J74" s="5" t="s">
        <v>9</v>
      </c>
      <c r="K74" s="5" t="s">
        <v>10</v>
      </c>
      <c r="L74" s="4" t="s">
        <v>9</v>
      </c>
      <c r="M74" s="4" t="s">
        <v>11</v>
      </c>
    </row>
    <row r="75" spans="1:13" x14ac:dyDescent="0.25">
      <c r="A75" s="6" t="s">
        <v>23</v>
      </c>
      <c r="B75" s="7">
        <v>0.963</v>
      </c>
      <c r="C75" s="8">
        <v>100</v>
      </c>
      <c r="D75" s="7">
        <v>1.088</v>
      </c>
      <c r="E75" s="8">
        <v>100</v>
      </c>
      <c r="F75" s="7">
        <v>0.901</v>
      </c>
      <c r="G75" s="8">
        <v>100</v>
      </c>
      <c r="H75" s="7">
        <v>0.859</v>
      </c>
      <c r="I75" s="8">
        <v>100</v>
      </c>
      <c r="J75" s="7">
        <v>0.794</v>
      </c>
      <c r="K75" s="8">
        <v>100</v>
      </c>
      <c r="L75" s="7">
        <f>AVERAGE(B75,D75,F75,H75,J75)</f>
      </c>
      <c r="M75" s="8">
        <f>AVERAGE(C75,E75,G75,I75,K75)</f>
      </c>
    </row>
    <row r="77" spans="1:2" x14ac:dyDescent="0.25">
      <c r="A77" s="9" t="s">
        <v>31</v>
      </c>
      <c r="B77" s="10">
        <f>((L70-L75)/L70)*100</f>
      </c>
    </row>
    <row r="80" spans="1:1" x14ac:dyDescent="0.25">
      <c r="A80" s="1" t="s">
        <v>32</v>
      </c>
    </row>
    <row r="82" spans="1:1" x14ac:dyDescent="0.25">
      <c r="A82" s="2" t="s">
        <v>26</v>
      </c>
    </row>
    <row r="83" spans="1:13" x14ac:dyDescent="0.25">
      <c r="A83" s="3" t="s">
        <v>2</v>
      </c>
      <c r="B83" s="3" t="s">
        <v>3</v>
      </c>
      <c r="C83" s="3"/>
      <c r="D83" s="3" t="s">
        <v>4</v>
      </c>
      <c r="E83" s="3"/>
      <c r="F83" s="3" t="s">
        <v>5</v>
      </c>
      <c r="G83" s="3"/>
      <c r="H83" s="3" t="s">
        <v>6</v>
      </c>
      <c r="I83" s="3"/>
      <c r="J83" s="3" t="s">
        <v>7</v>
      </c>
      <c r="K83" s="3"/>
      <c r="L83" s="4" t="s">
        <v>8</v>
      </c>
      <c r="M83" s="4"/>
    </row>
    <row r="84" spans="1:13" x14ac:dyDescent="0.25">
      <c r="A84" s="3"/>
      <c r="B84" s="5" t="s">
        <v>9</v>
      </c>
      <c r="C84" s="5" t="s">
        <v>10</v>
      </c>
      <c r="D84" s="5" t="s">
        <v>9</v>
      </c>
      <c r="E84" s="5" t="s">
        <v>10</v>
      </c>
      <c r="F84" s="5" t="s">
        <v>9</v>
      </c>
      <c r="G84" s="5" t="s">
        <v>10</v>
      </c>
      <c r="H84" s="5" t="s">
        <v>9</v>
      </c>
      <c r="I84" s="5" t="s">
        <v>10</v>
      </c>
      <c r="J84" s="5" t="s">
        <v>9</v>
      </c>
      <c r="K84" s="5" t="s">
        <v>10</v>
      </c>
      <c r="L84" s="4" t="s">
        <v>9</v>
      </c>
      <c r="M84" s="4" t="s">
        <v>11</v>
      </c>
    </row>
    <row r="85" spans="1:13" x14ac:dyDescent="0.25">
      <c r="A85" s="6" t="s">
        <v>12</v>
      </c>
      <c r="B85" s="7">
        <v>0.952</v>
      </c>
      <c r="C85" s="8">
        <v>100</v>
      </c>
      <c r="D85" s="7">
        <v>0.971</v>
      </c>
      <c r="E85" s="8">
        <v>100</v>
      </c>
      <c r="F85" s="7">
        <v>0.873</v>
      </c>
      <c r="G85" s="8">
        <v>100</v>
      </c>
      <c r="H85" s="7">
        <v>0.96</v>
      </c>
      <c r="I85" s="8">
        <v>100</v>
      </c>
      <c r="J85" s="7">
        <v>0.944</v>
      </c>
      <c r="K85" s="8">
        <v>100</v>
      </c>
      <c r="L85" s="7">
        <f>AVERAGE(B85,D85,F85,H85,J85)</f>
      </c>
      <c r="M85" s="8">
        <f>AVERAGE(C85,E85,G85,I85,K85)</f>
      </c>
    </row>
    <row r="87" spans="1:1" x14ac:dyDescent="0.25">
      <c r="A87" s="2" t="s">
        <v>33</v>
      </c>
    </row>
    <row r="88" spans="1:13" x14ac:dyDescent="0.25">
      <c r="A88" s="3" t="s">
        <v>2</v>
      </c>
      <c r="B88" s="3" t="s">
        <v>3</v>
      </c>
      <c r="C88" s="3"/>
      <c r="D88" s="3" t="s">
        <v>4</v>
      </c>
      <c r="E88" s="3"/>
      <c r="F88" s="3" t="s">
        <v>5</v>
      </c>
      <c r="G88" s="3"/>
      <c r="H88" s="3" t="s">
        <v>6</v>
      </c>
      <c r="I88" s="3"/>
      <c r="J88" s="3" t="s">
        <v>7</v>
      </c>
      <c r="K88" s="3"/>
      <c r="L88" s="4" t="s">
        <v>8</v>
      </c>
      <c r="M88" s="4"/>
    </row>
    <row r="89" spans="1:13" x14ac:dyDescent="0.25">
      <c r="A89" s="3"/>
      <c r="B89" s="5" t="s">
        <v>9</v>
      </c>
      <c r="C89" s="5" t="s">
        <v>10</v>
      </c>
      <c r="D89" s="5" t="s">
        <v>9</v>
      </c>
      <c r="E89" s="5" t="s">
        <v>10</v>
      </c>
      <c r="F89" s="5" t="s">
        <v>9</v>
      </c>
      <c r="G89" s="5" t="s">
        <v>10</v>
      </c>
      <c r="H89" s="5" t="s">
        <v>9</v>
      </c>
      <c r="I89" s="5" t="s">
        <v>10</v>
      </c>
      <c r="J89" s="5" t="s">
        <v>9</v>
      </c>
      <c r="K89" s="5" t="s">
        <v>10</v>
      </c>
      <c r="L89" s="4" t="s">
        <v>9</v>
      </c>
      <c r="M89" s="4" t="s">
        <v>11</v>
      </c>
    </row>
    <row r="90" spans="1:13" x14ac:dyDescent="0.25">
      <c r="A90" s="6" t="s">
        <v>23</v>
      </c>
      <c r="B90" s="7">
        <v>0.421</v>
      </c>
      <c r="C90" s="8">
        <v>100</v>
      </c>
      <c r="D90" s="7">
        <v>0.391</v>
      </c>
      <c r="E90" s="8">
        <v>100</v>
      </c>
      <c r="F90" s="7">
        <v>0.403</v>
      </c>
      <c r="G90" s="8">
        <v>100</v>
      </c>
      <c r="H90" s="7">
        <v>0.447</v>
      </c>
      <c r="I90" s="8">
        <v>100</v>
      </c>
      <c r="J90" s="7">
        <v>0.415</v>
      </c>
      <c r="K90" s="8">
        <v>100</v>
      </c>
      <c r="L90" s="7">
        <f>AVERAGE(B90,D90,F90,H90,J90)</f>
      </c>
      <c r="M90" s="8">
        <f>AVERAGE(C90,E90,G90,I90,K90)</f>
      </c>
    </row>
    <row r="92" spans="1:2" x14ac:dyDescent="0.25">
      <c r="A92" s="9" t="s">
        <v>34</v>
      </c>
      <c r="B92" s="10">
        <f>((L85-L90)/L85)*100</f>
      </c>
    </row>
    <row r="95" spans="1:1" x14ac:dyDescent="0.25">
      <c r="A95" s="1" t="s">
        <v>35</v>
      </c>
    </row>
    <row r="97" spans="1:1" x14ac:dyDescent="0.25">
      <c r="A97" s="2" t="s">
        <v>26</v>
      </c>
    </row>
    <row r="98" spans="1:13" x14ac:dyDescent="0.25">
      <c r="A98" s="3" t="s">
        <v>2</v>
      </c>
      <c r="B98" s="3" t="s">
        <v>3</v>
      </c>
      <c r="C98" s="3"/>
      <c r="D98" s="3" t="s">
        <v>4</v>
      </c>
      <c r="E98" s="3"/>
      <c r="F98" s="3" t="s">
        <v>5</v>
      </c>
      <c r="G98" s="3"/>
      <c r="H98" s="3" t="s">
        <v>6</v>
      </c>
      <c r="I98" s="3"/>
      <c r="J98" s="3" t="s">
        <v>7</v>
      </c>
      <c r="K98" s="3"/>
      <c r="L98" s="4" t="s">
        <v>8</v>
      </c>
      <c r="M98" s="4"/>
    </row>
    <row r="99" spans="1:13" x14ac:dyDescent="0.25">
      <c r="A99" s="3"/>
      <c r="B99" s="5" t="s">
        <v>9</v>
      </c>
      <c r="C99" s="5" t="s">
        <v>10</v>
      </c>
      <c r="D99" s="5" t="s">
        <v>9</v>
      </c>
      <c r="E99" s="5" t="s">
        <v>10</v>
      </c>
      <c r="F99" s="5" t="s">
        <v>9</v>
      </c>
      <c r="G99" s="5" t="s">
        <v>10</v>
      </c>
      <c r="H99" s="5" t="s">
        <v>9</v>
      </c>
      <c r="I99" s="5" t="s">
        <v>10</v>
      </c>
      <c r="J99" s="5" t="s">
        <v>9</v>
      </c>
      <c r="K99" s="5" t="s">
        <v>10</v>
      </c>
      <c r="L99" s="4" t="s">
        <v>9</v>
      </c>
      <c r="M99" s="4" t="s">
        <v>11</v>
      </c>
    </row>
    <row r="100" spans="1:13" x14ac:dyDescent="0.25">
      <c r="A100" s="6" t="s">
        <v>12</v>
      </c>
      <c r="B100" s="7">
        <v>2.31</v>
      </c>
      <c r="C100" s="8">
        <v>100</v>
      </c>
      <c r="D100" s="7">
        <v>2.674</v>
      </c>
      <c r="E100" s="8">
        <v>100</v>
      </c>
      <c r="F100" s="7">
        <v>2.253</v>
      </c>
      <c r="G100" s="8">
        <v>100</v>
      </c>
      <c r="H100" s="7">
        <v>2.176</v>
      </c>
      <c r="I100" s="8">
        <v>100</v>
      </c>
      <c r="J100" s="7">
        <v>2.131</v>
      </c>
      <c r="K100" s="8">
        <v>100</v>
      </c>
      <c r="L100" s="7">
        <f>AVERAGE(B100,D100,F100,H100,J100)</f>
      </c>
      <c r="M100" s="8">
        <f>AVERAGE(C100,E100,G100,I100,K100)</f>
      </c>
    </row>
    <row r="102" spans="1:1" x14ac:dyDescent="0.25">
      <c r="A102" s="2" t="s">
        <v>36</v>
      </c>
    </row>
    <row r="103" spans="1:13" x14ac:dyDescent="0.25">
      <c r="A103" s="3" t="s">
        <v>2</v>
      </c>
      <c r="B103" s="3" t="s">
        <v>3</v>
      </c>
      <c r="C103" s="3"/>
      <c r="D103" s="3" t="s">
        <v>4</v>
      </c>
      <c r="E103" s="3"/>
      <c r="F103" s="3" t="s">
        <v>5</v>
      </c>
      <c r="G103" s="3"/>
      <c r="H103" s="3" t="s">
        <v>6</v>
      </c>
      <c r="I103" s="3"/>
      <c r="J103" s="3" t="s">
        <v>7</v>
      </c>
      <c r="K103" s="3"/>
      <c r="L103" s="4" t="s">
        <v>8</v>
      </c>
      <c r="M103" s="4"/>
    </row>
    <row r="104" spans="1:13" x14ac:dyDescent="0.25">
      <c r="A104" s="3"/>
      <c r="B104" s="5" t="s">
        <v>9</v>
      </c>
      <c r="C104" s="5" t="s">
        <v>10</v>
      </c>
      <c r="D104" s="5" t="s">
        <v>9</v>
      </c>
      <c r="E104" s="5" t="s">
        <v>10</v>
      </c>
      <c r="F104" s="5" t="s">
        <v>9</v>
      </c>
      <c r="G104" s="5" t="s">
        <v>10</v>
      </c>
      <c r="H104" s="5" t="s">
        <v>9</v>
      </c>
      <c r="I104" s="5" t="s">
        <v>10</v>
      </c>
      <c r="J104" s="5" t="s">
        <v>9</v>
      </c>
      <c r="K104" s="5" t="s">
        <v>10</v>
      </c>
      <c r="L104" s="4" t="s">
        <v>9</v>
      </c>
      <c r="M104" s="4" t="s">
        <v>11</v>
      </c>
    </row>
    <row r="105" spans="1:13" x14ac:dyDescent="0.25">
      <c r="A105" s="6" t="s">
        <v>23</v>
      </c>
      <c r="B105" s="7">
        <v>0.134</v>
      </c>
      <c r="C105" s="8">
        <v>100</v>
      </c>
      <c r="D105" s="7">
        <v>0.088</v>
      </c>
      <c r="E105" s="8">
        <v>100</v>
      </c>
      <c r="F105" s="7">
        <v>0.097</v>
      </c>
      <c r="G105" s="8">
        <v>100</v>
      </c>
      <c r="H105" s="7">
        <v>0.118</v>
      </c>
      <c r="I105" s="8">
        <v>100</v>
      </c>
      <c r="J105" s="7">
        <v>0.08</v>
      </c>
      <c r="K105" s="8">
        <v>100</v>
      </c>
      <c r="L105" s="7">
        <f>AVERAGE(B105,D105,F105,H105,J105)</f>
      </c>
      <c r="M105" s="8">
        <f>AVERAGE(C105,E105,G105,I105,K105)</f>
      </c>
    </row>
    <row r="107" spans="1:2" x14ac:dyDescent="0.25">
      <c r="A107" s="9" t="s">
        <v>37</v>
      </c>
      <c r="B107" s="10">
        <f>((L100-L105)/L100)*100</f>
      </c>
    </row>
    <row r="110" spans="1:1" x14ac:dyDescent="0.25">
      <c r="A110" s="1" t="s">
        <v>38</v>
      </c>
    </row>
    <row r="112" spans="1:1" x14ac:dyDescent="0.25">
      <c r="A112" s="2" t="s">
        <v>26</v>
      </c>
    </row>
    <row r="113" spans="1:13" x14ac:dyDescent="0.25">
      <c r="A113" s="3" t="s">
        <v>2</v>
      </c>
      <c r="B113" s="3" t="s">
        <v>3</v>
      </c>
      <c r="C113" s="3"/>
      <c r="D113" s="3" t="s">
        <v>4</v>
      </c>
      <c r="E113" s="3"/>
      <c r="F113" s="3" t="s">
        <v>5</v>
      </c>
      <c r="G113" s="3"/>
      <c r="H113" s="3" t="s">
        <v>6</v>
      </c>
      <c r="I113" s="3"/>
      <c r="J113" s="3" t="s">
        <v>7</v>
      </c>
      <c r="K113" s="3"/>
      <c r="L113" s="4" t="s">
        <v>8</v>
      </c>
      <c r="M113" s="4"/>
    </row>
    <row r="114" spans="1:13" x14ac:dyDescent="0.25">
      <c r="A114" s="3"/>
      <c r="B114" s="5" t="s">
        <v>9</v>
      </c>
      <c r="C114" s="5" t="s">
        <v>10</v>
      </c>
      <c r="D114" s="5" t="s">
        <v>9</v>
      </c>
      <c r="E114" s="5" t="s">
        <v>10</v>
      </c>
      <c r="F114" s="5" t="s">
        <v>9</v>
      </c>
      <c r="G114" s="5" t="s">
        <v>10</v>
      </c>
      <c r="H114" s="5" t="s">
        <v>9</v>
      </c>
      <c r="I114" s="5" t="s">
        <v>10</v>
      </c>
      <c r="J114" s="5" t="s">
        <v>9</v>
      </c>
      <c r="K114" s="5" t="s">
        <v>10</v>
      </c>
      <c r="L114" s="4" t="s">
        <v>9</v>
      </c>
      <c r="M114" s="4" t="s">
        <v>11</v>
      </c>
    </row>
    <row r="115" spans="1:13" x14ac:dyDescent="0.25">
      <c r="A115" s="6" t="s">
        <v>12</v>
      </c>
      <c r="B115" s="7">
        <v>3.123</v>
      </c>
      <c r="C115" s="8">
        <v>100</v>
      </c>
      <c r="D115" s="7">
        <v>2.924</v>
      </c>
      <c r="E115" s="8">
        <v>100</v>
      </c>
      <c r="F115" s="7">
        <v>4.062</v>
      </c>
      <c r="G115" s="8">
        <v>100</v>
      </c>
      <c r="H115" s="7">
        <v>3.078</v>
      </c>
      <c r="I115" s="8">
        <v>100</v>
      </c>
      <c r="J115" s="7">
        <v>3.179</v>
      </c>
      <c r="K115" s="8">
        <v>100</v>
      </c>
      <c r="L115" s="7">
        <f>AVERAGE(B115,D115,F115,H115,J115)</f>
      </c>
      <c r="M115" s="8">
        <f>AVERAGE(C115,E115,G115,I115,K115)</f>
      </c>
    </row>
    <row r="117" spans="1:1" x14ac:dyDescent="0.25">
      <c r="A117" s="2" t="s">
        <v>39</v>
      </c>
    </row>
    <row r="118" spans="1:13" x14ac:dyDescent="0.25">
      <c r="A118" s="3" t="s">
        <v>2</v>
      </c>
      <c r="B118" s="3" t="s">
        <v>3</v>
      </c>
      <c r="C118" s="3"/>
      <c r="D118" s="3" t="s">
        <v>4</v>
      </c>
      <c r="E118" s="3"/>
      <c r="F118" s="3" t="s">
        <v>5</v>
      </c>
      <c r="G118" s="3"/>
      <c r="H118" s="3" t="s">
        <v>6</v>
      </c>
      <c r="I118" s="3"/>
      <c r="J118" s="3" t="s">
        <v>7</v>
      </c>
      <c r="K118" s="3"/>
      <c r="L118" s="4" t="s">
        <v>8</v>
      </c>
      <c r="M118" s="4"/>
    </row>
    <row r="119" spans="1:13" x14ac:dyDescent="0.25">
      <c r="A119" s="3"/>
      <c r="B119" s="5" t="s">
        <v>9</v>
      </c>
      <c r="C119" s="5" t="s">
        <v>10</v>
      </c>
      <c r="D119" s="5" t="s">
        <v>9</v>
      </c>
      <c r="E119" s="5" t="s">
        <v>10</v>
      </c>
      <c r="F119" s="5" t="s">
        <v>9</v>
      </c>
      <c r="G119" s="5" t="s">
        <v>10</v>
      </c>
      <c r="H119" s="5" t="s">
        <v>9</v>
      </c>
      <c r="I119" s="5" t="s">
        <v>10</v>
      </c>
      <c r="J119" s="5" t="s">
        <v>9</v>
      </c>
      <c r="K119" s="5" t="s">
        <v>10</v>
      </c>
      <c r="L119" s="4" t="s">
        <v>9</v>
      </c>
      <c r="M119" s="4" t="s">
        <v>11</v>
      </c>
    </row>
    <row r="120" spans="1:13" x14ac:dyDescent="0.25">
      <c r="A120" s="6" t="s">
        <v>23</v>
      </c>
      <c r="B120" s="7">
        <v>0.105</v>
      </c>
      <c r="C120" s="8">
        <v>100</v>
      </c>
      <c r="D120" s="7">
        <v>0.084</v>
      </c>
      <c r="E120" s="8">
        <v>100</v>
      </c>
      <c r="F120" s="7">
        <v>0.1</v>
      </c>
      <c r="G120" s="8">
        <v>100</v>
      </c>
      <c r="H120" s="7">
        <v>0.099</v>
      </c>
      <c r="I120" s="8">
        <v>100</v>
      </c>
      <c r="J120" s="7">
        <v>0.086</v>
      </c>
      <c r="K120" s="8">
        <v>100</v>
      </c>
      <c r="L120" s="7">
        <f>AVERAGE(B120,D120,F120,H120,J120)</f>
      </c>
      <c r="M120" s="8">
        <f>AVERAGE(C120,E120,G120,I120,K120)</f>
      </c>
    </row>
    <row r="122" spans="1:2" x14ac:dyDescent="0.25">
      <c r="A122" s="9" t="s">
        <v>40</v>
      </c>
      <c r="B122" s="10">
        <f>((L115-L120)/L115)*100</f>
      </c>
    </row>
    <row r="125" spans="1:1" x14ac:dyDescent="0.25">
      <c r="A125" s="1" t="s">
        <v>41</v>
      </c>
    </row>
    <row r="127" spans="1:1" x14ac:dyDescent="0.25">
      <c r="A127" s="2" t="s">
        <v>26</v>
      </c>
    </row>
    <row r="128" spans="1:13" x14ac:dyDescent="0.25">
      <c r="A128" s="3" t="s">
        <v>2</v>
      </c>
      <c r="B128" s="3" t="s">
        <v>3</v>
      </c>
      <c r="C128" s="3"/>
      <c r="D128" s="3" t="s">
        <v>4</v>
      </c>
      <c r="E128" s="3"/>
      <c r="F128" s="3" t="s">
        <v>5</v>
      </c>
      <c r="G128" s="3"/>
      <c r="H128" s="3" t="s">
        <v>6</v>
      </c>
      <c r="I128" s="3"/>
      <c r="J128" s="3" t="s">
        <v>7</v>
      </c>
      <c r="K128" s="3"/>
      <c r="L128" s="4" t="s">
        <v>8</v>
      </c>
      <c r="M128" s="4"/>
    </row>
    <row r="129" spans="1:13" x14ac:dyDescent="0.25">
      <c r="A129" s="3"/>
      <c r="B129" s="5" t="s">
        <v>9</v>
      </c>
      <c r="C129" s="5" t="s">
        <v>10</v>
      </c>
      <c r="D129" s="5" t="s">
        <v>9</v>
      </c>
      <c r="E129" s="5" t="s">
        <v>10</v>
      </c>
      <c r="F129" s="5" t="s">
        <v>9</v>
      </c>
      <c r="G129" s="5" t="s">
        <v>10</v>
      </c>
      <c r="H129" s="5" t="s">
        <v>9</v>
      </c>
      <c r="I129" s="5" t="s">
        <v>10</v>
      </c>
      <c r="J129" s="5" t="s">
        <v>9</v>
      </c>
      <c r="K129" s="5" t="s">
        <v>10</v>
      </c>
      <c r="L129" s="4" t="s">
        <v>9</v>
      </c>
      <c r="M129" s="4" t="s">
        <v>11</v>
      </c>
    </row>
    <row r="130" spans="1:13" x14ac:dyDescent="0.25">
      <c r="A130" s="6" t="s">
        <v>12</v>
      </c>
      <c r="B130" s="7">
        <v>2.025</v>
      </c>
      <c r="C130" s="8">
        <v>100</v>
      </c>
      <c r="D130" s="7">
        <v>2.172</v>
      </c>
      <c r="E130" s="8">
        <v>100</v>
      </c>
      <c r="F130" s="7">
        <v>2.141</v>
      </c>
      <c r="G130" s="8">
        <v>100</v>
      </c>
      <c r="H130" s="7">
        <v>2.789</v>
      </c>
      <c r="I130" s="8">
        <v>100</v>
      </c>
      <c r="J130" s="7">
        <v>2.282</v>
      </c>
      <c r="K130" s="8">
        <v>100</v>
      </c>
      <c r="L130" s="7">
        <f>AVERAGE(B130,D130,F130,H130,J130)</f>
      </c>
      <c r="M130" s="8">
        <f>AVERAGE(C130,E130,G130,I130,K130)</f>
      </c>
    </row>
    <row r="132" spans="1:1" x14ac:dyDescent="0.25">
      <c r="A132" s="2" t="s">
        <v>42</v>
      </c>
    </row>
    <row r="133" spans="1:13" x14ac:dyDescent="0.25">
      <c r="A133" s="3" t="s">
        <v>2</v>
      </c>
      <c r="B133" s="3" t="s">
        <v>3</v>
      </c>
      <c r="C133" s="3"/>
      <c r="D133" s="3" t="s">
        <v>4</v>
      </c>
      <c r="E133" s="3"/>
      <c r="F133" s="3" t="s">
        <v>5</v>
      </c>
      <c r="G133" s="3"/>
      <c r="H133" s="3" t="s">
        <v>6</v>
      </c>
      <c r="I133" s="3"/>
      <c r="J133" s="3" t="s">
        <v>7</v>
      </c>
      <c r="K133" s="3"/>
      <c r="L133" s="4" t="s">
        <v>8</v>
      </c>
      <c r="M133" s="4"/>
    </row>
    <row r="134" spans="1:13" x14ac:dyDescent="0.25">
      <c r="A134" s="3"/>
      <c r="B134" s="5" t="s">
        <v>9</v>
      </c>
      <c r="C134" s="5" t="s">
        <v>10</v>
      </c>
      <c r="D134" s="5" t="s">
        <v>9</v>
      </c>
      <c r="E134" s="5" t="s">
        <v>10</v>
      </c>
      <c r="F134" s="5" t="s">
        <v>9</v>
      </c>
      <c r="G134" s="5" t="s">
        <v>10</v>
      </c>
      <c r="H134" s="5" t="s">
        <v>9</v>
      </c>
      <c r="I134" s="5" t="s">
        <v>10</v>
      </c>
      <c r="J134" s="5" t="s">
        <v>9</v>
      </c>
      <c r="K134" s="5" t="s">
        <v>10</v>
      </c>
      <c r="L134" s="4" t="s">
        <v>9</v>
      </c>
      <c r="M134" s="4" t="s">
        <v>11</v>
      </c>
    </row>
    <row r="135" spans="1:13" x14ac:dyDescent="0.25">
      <c r="A135" s="6" t="s">
        <v>23</v>
      </c>
      <c r="B135" s="7">
        <v>0.108</v>
      </c>
      <c r="C135" s="8">
        <v>100</v>
      </c>
      <c r="D135" s="7">
        <v>0.092</v>
      </c>
      <c r="E135" s="8">
        <v>100</v>
      </c>
      <c r="F135" s="7">
        <v>0.091</v>
      </c>
      <c r="G135" s="8">
        <v>100</v>
      </c>
      <c r="H135" s="7">
        <v>0.081</v>
      </c>
      <c r="I135" s="8">
        <v>100</v>
      </c>
      <c r="J135" s="7">
        <v>0.08</v>
      </c>
      <c r="K135" s="8">
        <v>100</v>
      </c>
      <c r="L135" s="7">
        <f>AVERAGE(B135,D135,F135,H135,J135)</f>
      </c>
      <c r="M135" s="8">
        <f>AVERAGE(C135,E135,G135,I135,K135)</f>
      </c>
    </row>
    <row r="137" spans="1:2" x14ac:dyDescent="0.25">
      <c r="A137" s="9" t="s">
        <v>43</v>
      </c>
      <c r="B137" s="10">
        <f>((L130-L135)/L130)*100</f>
      </c>
    </row>
    <row r="140" spans="1:1" x14ac:dyDescent="0.25">
      <c r="A140" s="1" t="s">
        <v>44</v>
      </c>
    </row>
    <row r="142" spans="1:1" x14ac:dyDescent="0.25">
      <c r="A142" s="2" t="s">
        <v>26</v>
      </c>
    </row>
    <row r="143" spans="1:13" x14ac:dyDescent="0.25">
      <c r="A143" s="3" t="s">
        <v>2</v>
      </c>
      <c r="B143" s="3" t="s">
        <v>3</v>
      </c>
      <c r="C143" s="3"/>
      <c r="D143" s="3" t="s">
        <v>4</v>
      </c>
      <c r="E143" s="3"/>
      <c r="F143" s="3" t="s">
        <v>5</v>
      </c>
      <c r="G143" s="3"/>
      <c r="H143" s="3" t="s">
        <v>6</v>
      </c>
      <c r="I143" s="3"/>
      <c r="J143" s="3" t="s">
        <v>7</v>
      </c>
      <c r="K143" s="3"/>
      <c r="L143" s="4" t="s">
        <v>8</v>
      </c>
      <c r="M143" s="4"/>
    </row>
    <row r="144" spans="1:13" x14ac:dyDescent="0.25">
      <c r="A144" s="3"/>
      <c r="B144" s="5" t="s">
        <v>9</v>
      </c>
      <c r="C144" s="5" t="s">
        <v>10</v>
      </c>
      <c r="D144" s="5" t="s">
        <v>9</v>
      </c>
      <c r="E144" s="5" t="s">
        <v>10</v>
      </c>
      <c r="F144" s="5" t="s">
        <v>9</v>
      </c>
      <c r="G144" s="5" t="s">
        <v>10</v>
      </c>
      <c r="H144" s="5" t="s">
        <v>9</v>
      </c>
      <c r="I144" s="5" t="s">
        <v>10</v>
      </c>
      <c r="J144" s="5" t="s">
        <v>9</v>
      </c>
      <c r="K144" s="5" t="s">
        <v>10</v>
      </c>
      <c r="L144" s="4" t="s">
        <v>9</v>
      </c>
      <c r="M144" s="4" t="s">
        <v>11</v>
      </c>
    </row>
    <row r="145" spans="1:13" x14ac:dyDescent="0.25">
      <c r="A145" s="6" t="s">
        <v>12</v>
      </c>
      <c r="B145" s="7">
        <v>4.674</v>
      </c>
      <c r="C145" s="8">
        <v>100</v>
      </c>
      <c r="D145" s="7">
        <v>5</v>
      </c>
      <c r="E145" s="8">
        <v>100</v>
      </c>
      <c r="F145" s="7">
        <v>4.934</v>
      </c>
      <c r="G145" s="8">
        <v>100</v>
      </c>
      <c r="H145" s="7">
        <v>4.747</v>
      </c>
      <c r="I145" s="8">
        <v>100</v>
      </c>
      <c r="J145" s="7">
        <v>4.739</v>
      </c>
      <c r="K145" s="8">
        <v>100</v>
      </c>
      <c r="L145" s="7">
        <f>AVERAGE(B145,D145,F145,H145,J145)</f>
      </c>
      <c r="M145" s="8">
        <f>AVERAGE(C145,E145,G145,I145,K145)</f>
      </c>
    </row>
    <row r="147" spans="1:1" x14ac:dyDescent="0.25">
      <c r="A147" s="2" t="s">
        <v>45</v>
      </c>
    </row>
    <row r="148" spans="1:13" x14ac:dyDescent="0.25">
      <c r="A148" s="3" t="s">
        <v>2</v>
      </c>
      <c r="B148" s="3" t="s">
        <v>3</v>
      </c>
      <c r="C148" s="3"/>
      <c r="D148" s="3" t="s">
        <v>4</v>
      </c>
      <c r="E148" s="3"/>
      <c r="F148" s="3" t="s">
        <v>5</v>
      </c>
      <c r="G148" s="3"/>
      <c r="H148" s="3" t="s">
        <v>6</v>
      </c>
      <c r="I148" s="3"/>
      <c r="J148" s="3" t="s">
        <v>7</v>
      </c>
      <c r="K148" s="3"/>
      <c r="L148" s="4" t="s">
        <v>8</v>
      </c>
      <c r="M148" s="4"/>
    </row>
    <row r="149" spans="1:13" x14ac:dyDescent="0.25">
      <c r="A149" s="3"/>
      <c r="B149" s="5" t="s">
        <v>9</v>
      </c>
      <c r="C149" s="5" t="s">
        <v>10</v>
      </c>
      <c r="D149" s="5" t="s">
        <v>9</v>
      </c>
      <c r="E149" s="5" t="s">
        <v>10</v>
      </c>
      <c r="F149" s="5" t="s">
        <v>9</v>
      </c>
      <c r="G149" s="5" t="s">
        <v>10</v>
      </c>
      <c r="H149" s="5" t="s">
        <v>9</v>
      </c>
      <c r="I149" s="5" t="s">
        <v>10</v>
      </c>
      <c r="J149" s="5" t="s">
        <v>9</v>
      </c>
      <c r="K149" s="5" t="s">
        <v>10</v>
      </c>
      <c r="L149" s="4" t="s">
        <v>9</v>
      </c>
      <c r="M149" s="4" t="s">
        <v>11</v>
      </c>
    </row>
    <row r="150" spans="1:13" x14ac:dyDescent="0.25">
      <c r="A150" s="6" t="s">
        <v>23</v>
      </c>
      <c r="B150" s="7">
        <v>3.321</v>
      </c>
      <c r="C150" s="8">
        <v>100</v>
      </c>
      <c r="D150" s="7">
        <v>3.271</v>
      </c>
      <c r="E150" s="8">
        <v>100</v>
      </c>
      <c r="F150" s="7">
        <v>3.212</v>
      </c>
      <c r="G150" s="8">
        <v>100</v>
      </c>
      <c r="H150" s="7">
        <v>4.577</v>
      </c>
      <c r="I150" s="8">
        <v>100</v>
      </c>
      <c r="J150" s="7">
        <v>3.569</v>
      </c>
      <c r="K150" s="8">
        <v>100</v>
      </c>
      <c r="L150" s="7">
        <f>AVERAGE(B150,D150,F150,H150,J150)</f>
      </c>
      <c r="M150" s="8">
        <f>AVERAGE(C150,E150,G150,I150,K150)</f>
      </c>
    </row>
    <row r="152" spans="1:2" x14ac:dyDescent="0.25">
      <c r="A152" s="9" t="s">
        <v>46</v>
      </c>
      <c r="B152" s="10">
        <f>((L145-L150)/L145)*100</f>
      </c>
    </row>
  </sheetData>
  <mergeCells count="140">
    <mergeCell ref="B4:C4"/>
    <mergeCell ref="D4:E4"/>
    <mergeCell ref="F4:G4"/>
    <mergeCell ref="H4:I4"/>
    <mergeCell ref="J4:K4"/>
    <mergeCell ref="L4:M4"/>
    <mergeCell ref="A4:A5"/>
    <mergeCell ref="B9:C9"/>
    <mergeCell ref="D9:E9"/>
    <mergeCell ref="F9:G9"/>
    <mergeCell ref="H9:I9"/>
    <mergeCell ref="J9:K9"/>
    <mergeCell ref="L9:M9"/>
    <mergeCell ref="A9:A10"/>
    <mergeCell ref="B19:C19"/>
    <mergeCell ref="D19:E19"/>
    <mergeCell ref="F19:G19"/>
    <mergeCell ref="H19:I19"/>
    <mergeCell ref="J19:K19"/>
    <mergeCell ref="L19:M19"/>
    <mergeCell ref="A19:A20"/>
    <mergeCell ref="B24:C24"/>
    <mergeCell ref="D24:E24"/>
    <mergeCell ref="F24:G24"/>
    <mergeCell ref="H24:I24"/>
    <mergeCell ref="J24:K24"/>
    <mergeCell ref="L24:M24"/>
    <mergeCell ref="A24:A25"/>
    <mergeCell ref="B34:C34"/>
    <mergeCell ref="D34:E34"/>
    <mergeCell ref="F34:G34"/>
    <mergeCell ref="H34:I34"/>
    <mergeCell ref="J34:K34"/>
    <mergeCell ref="L34:M34"/>
    <mergeCell ref="A34:A35"/>
    <mergeCell ref="B41:C41"/>
    <mergeCell ref="D41:E41"/>
    <mergeCell ref="F41:G41"/>
    <mergeCell ref="H41:I41"/>
    <mergeCell ref="J41:K41"/>
    <mergeCell ref="L41:M41"/>
    <mergeCell ref="A41:A42"/>
    <mergeCell ref="B53:C53"/>
    <mergeCell ref="D53:E53"/>
    <mergeCell ref="F53:G53"/>
    <mergeCell ref="H53:I53"/>
    <mergeCell ref="J53:K53"/>
    <mergeCell ref="L53:M53"/>
    <mergeCell ref="A53:A54"/>
    <mergeCell ref="B58:C58"/>
    <mergeCell ref="D58:E58"/>
    <mergeCell ref="F58:G58"/>
    <mergeCell ref="H58:I58"/>
    <mergeCell ref="J58:K58"/>
    <mergeCell ref="L58:M58"/>
    <mergeCell ref="A58:A59"/>
    <mergeCell ref="B68:C68"/>
    <mergeCell ref="D68:E68"/>
    <mergeCell ref="F68:G68"/>
    <mergeCell ref="H68:I68"/>
    <mergeCell ref="J68:K68"/>
    <mergeCell ref="L68:M68"/>
    <mergeCell ref="A68:A69"/>
    <mergeCell ref="B73:C73"/>
    <mergeCell ref="D73:E73"/>
    <mergeCell ref="F73:G73"/>
    <mergeCell ref="H73:I73"/>
    <mergeCell ref="J73:K73"/>
    <mergeCell ref="L73:M73"/>
    <mergeCell ref="A73:A74"/>
    <mergeCell ref="B83:C83"/>
    <mergeCell ref="D83:E83"/>
    <mergeCell ref="F83:G83"/>
    <mergeCell ref="H83:I83"/>
    <mergeCell ref="J83:K83"/>
    <mergeCell ref="L83:M83"/>
    <mergeCell ref="A83:A84"/>
    <mergeCell ref="B88:C88"/>
    <mergeCell ref="D88:E88"/>
    <mergeCell ref="F88:G88"/>
    <mergeCell ref="H88:I88"/>
    <mergeCell ref="J88:K88"/>
    <mergeCell ref="L88:M88"/>
    <mergeCell ref="A88:A89"/>
    <mergeCell ref="B98:C98"/>
    <mergeCell ref="D98:E98"/>
    <mergeCell ref="F98:G98"/>
    <mergeCell ref="H98:I98"/>
    <mergeCell ref="J98:K98"/>
    <mergeCell ref="L98:M98"/>
    <mergeCell ref="A98:A99"/>
    <mergeCell ref="B103:C103"/>
    <mergeCell ref="D103:E103"/>
    <mergeCell ref="F103:G103"/>
    <mergeCell ref="H103:I103"/>
    <mergeCell ref="J103:K103"/>
    <mergeCell ref="L103:M103"/>
    <mergeCell ref="A103:A104"/>
    <mergeCell ref="B113:C113"/>
    <mergeCell ref="D113:E113"/>
    <mergeCell ref="F113:G113"/>
    <mergeCell ref="H113:I113"/>
    <mergeCell ref="J113:K113"/>
    <mergeCell ref="L113:M113"/>
    <mergeCell ref="A113:A114"/>
    <mergeCell ref="B118:C118"/>
    <mergeCell ref="D118:E118"/>
    <mergeCell ref="F118:G118"/>
    <mergeCell ref="H118:I118"/>
    <mergeCell ref="J118:K118"/>
    <mergeCell ref="L118:M118"/>
    <mergeCell ref="A118:A119"/>
    <mergeCell ref="B128:C128"/>
    <mergeCell ref="D128:E128"/>
    <mergeCell ref="F128:G128"/>
    <mergeCell ref="H128:I128"/>
    <mergeCell ref="J128:K128"/>
    <mergeCell ref="L128:M128"/>
    <mergeCell ref="A128:A129"/>
    <mergeCell ref="B133:C133"/>
    <mergeCell ref="D133:E133"/>
    <mergeCell ref="F133:G133"/>
    <mergeCell ref="H133:I133"/>
    <mergeCell ref="J133:K133"/>
    <mergeCell ref="L133:M133"/>
    <mergeCell ref="A133:A134"/>
    <mergeCell ref="B143:C143"/>
    <mergeCell ref="D143:E143"/>
    <mergeCell ref="F143:G143"/>
    <mergeCell ref="H143:I143"/>
    <mergeCell ref="J143:K143"/>
    <mergeCell ref="L143:M143"/>
    <mergeCell ref="A143:A144"/>
    <mergeCell ref="B148:C148"/>
    <mergeCell ref="D148:E148"/>
    <mergeCell ref="F148:G148"/>
    <mergeCell ref="H148:I148"/>
    <mergeCell ref="J148:K148"/>
    <mergeCell ref="L148:M148"/>
    <mergeCell ref="A148:A149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2026-08-21T14:16:57Z</dcterms:created>
  <dcterms:modified xsi:type="dcterms:W3CDTF">2026-08-21T14:16:57Z</dcterms:modified>
</cp:coreProperties>
</file>